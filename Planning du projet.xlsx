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13_ncr:1_{99227821-0D70-4891-AB13-555E24624AF4}" xr6:coauthVersionLast="47" xr6:coauthVersionMax="47" xr10:uidLastSave="{00000000-0000-0000-0000-000000000000}"/>
  <bookViews>
    <workbookView xWindow="-108" yWindow="-108" windowWidth="23256" windowHeight="13176"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PlanningProjet!$E$3</definedName>
    <definedName name="début_tâche" localSheetId="0">PlanningProjet!$E1</definedName>
    <definedName name="fin_tâche" localSheetId="0">PlanningProjet!$F1</definedName>
    <definedName name="_xlnm.Print_Titles" localSheetId="0">PlanningProjet!$4:$6</definedName>
    <definedName name="Semaine_Affichage">PlanningProjet!$E$4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11" l="1"/>
  <c r="E32" i="11"/>
  <c r="E31" i="11"/>
  <c r="F31" i="11"/>
  <c r="F30" i="11"/>
  <c r="E30" i="11"/>
  <c r="F29" i="11"/>
  <c r="E29" i="11"/>
  <c r="F27" i="11"/>
  <c r="E25" i="11"/>
  <c r="E26" i="11"/>
  <c r="E27" i="11"/>
  <c r="E24" i="11"/>
  <c r="F26" i="11"/>
  <c r="F25" i="11"/>
  <c r="F24" i="11"/>
  <c r="E3" i="11"/>
  <c r="E15" i="11" s="1"/>
  <c r="F15" i="11" s="1"/>
  <c r="H7" i="11"/>
  <c r="E22" i="11" l="1"/>
  <c r="F22" i="11" s="1"/>
  <c r="E18" i="11"/>
  <c r="F18" i="11" s="1"/>
  <c r="E19" i="11"/>
  <c r="F19" i="11" s="1"/>
  <c r="E21" i="11"/>
  <c r="F21" i="11" s="1"/>
  <c r="E13" i="11"/>
  <c r="F13" i="11" s="1"/>
  <c r="E16" i="11"/>
  <c r="F16" i="11" s="1"/>
  <c r="E14" i="11"/>
  <c r="F14" i="11" s="1"/>
  <c r="E11" i="11"/>
  <c r="F11" i="11" s="1"/>
  <c r="E9" i="11"/>
  <c r="H25" i="11" l="1"/>
  <c r="F9" i="11"/>
  <c r="E10" i="11"/>
  <c r="I5" i="11"/>
  <c r="I6" i="11" s="1"/>
  <c r="H34" i="11"/>
  <c r="H33" i="11"/>
  <c r="H32" i="11"/>
  <c r="H31" i="11"/>
  <c r="H30" i="11"/>
  <c r="H28" i="11"/>
  <c r="H24" i="11"/>
  <c r="H23" i="11"/>
  <c r="H17" i="11"/>
  <c r="H8" i="11"/>
  <c r="H9" i="11" l="1"/>
  <c r="F10" i="11"/>
  <c r="H29" i="11" l="1"/>
  <c r="H10" i="11"/>
  <c r="H26" i="11"/>
  <c r="H18" i="11"/>
  <c r="H13" i="11"/>
  <c r="E12" i="11"/>
  <c r="F12" i="11" s="1"/>
  <c r="J5" i="11"/>
  <c r="K5" i="11" l="1"/>
  <c r="L5" i="11" l="1"/>
  <c r="M5" i="11" l="1"/>
  <c r="N5" i="11" l="1"/>
  <c r="O5" i="11" l="1"/>
  <c r="P5" i="11" l="1"/>
  <c r="P6" i="11" s="1"/>
  <c r="O6" i="11"/>
  <c r="N6" i="11"/>
  <c r="M6" i="11"/>
  <c r="L6" i="11"/>
  <c r="K6" i="11"/>
  <c r="J6" i="11"/>
  <c r="I4" i="11"/>
  <c r="H19" i="11" l="1"/>
  <c r="E20" i="11"/>
  <c r="F20" i="11" s="1"/>
  <c r="H11" i="11"/>
  <c r="H12" i="11"/>
  <c r="P4" i="11"/>
  <c r="Q5" i="11"/>
  <c r="R5" i="11" l="1"/>
  <c r="S5" i="11" l="1"/>
  <c r="T5" i="11" l="1"/>
  <c r="U5" i="11" l="1"/>
  <c r="V5" i="11" l="1"/>
  <c r="W5" i="11" l="1"/>
  <c r="W6" i="11" s="1"/>
  <c r="V6" i="11"/>
  <c r="U6" i="11"/>
  <c r="T6" i="11"/>
  <c r="S6" i="11"/>
  <c r="R6" i="11"/>
  <c r="Q6" i="11"/>
  <c r="H21" i="11"/>
  <c r="H20" i="11"/>
  <c r="W4" i="11"/>
  <c r="X5" i="11"/>
  <c r="Y5" i="11" l="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c r="AS5" i="11" l="1"/>
  <c r="AS6" i="11" s="1"/>
  <c r="AR6" i="11"/>
  <c r="AK4" i="11"/>
  <c r="AT5" i="11" l="1"/>
  <c r="AT6" i="11" s="1"/>
  <c r="AR4" i="11"/>
  <c r="AU5" i="11" l="1"/>
  <c r="AU6" i="11" s="1"/>
  <c r="AV5" i="11" l="1"/>
  <c r="AV6" i="11" s="1"/>
  <c r="AW5" i="11" l="1"/>
  <c r="AW6" i="11" s="1"/>
  <c r="AX5" i="11" l="1"/>
  <c r="AY5" i="11" l="1"/>
  <c r="AY6" i="11" s="1"/>
  <c r="AX6" i="11"/>
  <c r="AZ5" i="11"/>
  <c r="AZ6" i="11" s="1"/>
  <c r="AY4" i="11"/>
  <c r="BA5" i="11" l="1"/>
  <c r="BA6" i="11" s="1"/>
  <c r="BB5" i="11" l="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alcChain>
</file>

<file path=xl/sharedStrings.xml><?xml version="1.0" encoding="utf-8"?>
<sst xmlns="http://schemas.openxmlformats.org/spreadsheetml/2006/main" count="88" uniqueCount="70">
  <si>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</si>
  <si>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</si>
  <si>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</si>
  <si>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</si>
  <si>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</si>
  <si>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</si>
  <si>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</si>
  <si>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</si>
  <si>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</si>
  <si>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</si>
  <si>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</si>
  <si>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</si>
  <si>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Ceci est une ligne vide.</t>
  </si>
  <si>
    <t>Cette ligne marque la fin du planning de projet. N’ENTREZ rien dans cette ligne. 
Insérez de nouvelles lignes au-dessus de celle-ci pour continuer d’élaborer votre planning de projet.</t>
  </si>
  <si>
    <t>TÂCHE</t>
  </si>
  <si>
    <t>Insérez les nouvelle lignes au-dessus de celle-ci.</t>
  </si>
  <si>
    <t>Début du projet :</t>
  </si>
  <si>
    <t>Semaine d’affichage :</t>
  </si>
  <si>
    <t>ATTRIBUÉE
À</t>
  </si>
  <si>
    <t>AVANCEMENT</t>
  </si>
  <si>
    <t>DÉBUT</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</si>
  <si>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</si>
  <si>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</si>
  <si>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</si>
  <si>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</si>
  <si>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</si>
  <si>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</si>
  <si>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</si>
  <si>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</si>
  <si>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</si>
  <si>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</si>
  <si>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</si>
  <si>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</si>
  <si>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</si>
  <si>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</si>
  <si>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</si>
  <si>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</si>
  <si>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</si>
  <si>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ASBank</t>
  </si>
  <si>
    <t>Phase 1 : Initialisation et Assainissement</t>
  </si>
  <si>
    <t>Préparation du dépôt GitHub</t>
  </si>
  <si>
    <t>Mise en place du CI/CD</t>
  </si>
  <si>
    <t>Correction du bug d'inversion de logique du débit</t>
  </si>
  <si>
    <t>Alexandre</t>
  </si>
  <si>
    <t>Correction du bug empêchant la création d'un nouvel utilisateur</t>
  </si>
  <si>
    <t>Implémentation d'un CSS pour la page de modification du mot de passe</t>
  </si>
  <si>
    <t>Thomas</t>
  </si>
  <si>
    <t>Said</t>
  </si>
  <si>
    <t xml:space="preserve">Correction de l'affichage d'un texte inattendu en haut de la liste des comptes </t>
  </si>
  <si>
    <t>Correction de l'affichage de l'icône d'édition de compte</t>
  </si>
  <si>
    <t>Correction des informations non à jour sur le footer et la page d'accueil</t>
  </si>
  <si>
    <t>Lilian</t>
  </si>
  <si>
    <t>Phase 2 : Cœur du projet</t>
  </si>
  <si>
    <t>Phase 3 : Qualité, Finitions, et UX</t>
  </si>
  <si>
    <t>Implémentation de la gestion des cartes bancaires</t>
  </si>
  <si>
    <t>Refonte du design du site (si acceptée par le client)</t>
  </si>
  <si>
    <t>Correction du mauvais placement du footer, et de divers problèmes d'espacement</t>
  </si>
  <si>
    <t>Création de nouveaux tests unitaires</t>
  </si>
  <si>
    <t>Début de la documentation du projet</t>
  </si>
  <si>
    <t>Lilian + Said</t>
  </si>
  <si>
    <t>Création des tests de recette (Sélénium)</t>
  </si>
  <si>
    <t>Implémentation du logo de l'Université de Lorraine</t>
  </si>
  <si>
    <t>Amélioration de la qualité du code</t>
  </si>
  <si>
    <t>Phase 4 : Vérifications et Rendu</t>
  </si>
  <si>
    <t>Rédaction de la majorité de la documentation</t>
  </si>
  <si>
    <t>Vérification du bon démarrage de l'application</t>
  </si>
  <si>
    <t>Vérification de la qualité du code</t>
  </si>
  <si>
    <t>Vérification de l'absence de bugs</t>
  </si>
  <si>
    <t>Tous</t>
  </si>
  <si>
    <t xml:space="preserve">Vérification de la documentation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</si>
</sst>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6" fontId="9" fillId="0" borderId="3" xfId="9">
      <alignment horizontal="center"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zoomScaleNormal="100" zoomScalePageLayoutView="70" workbookViewId="0">
      <pane ySplit="6" topLeftCell="A8" activePane="bottomLeft" state="frozen"/>
      <selection pane="bottomLeft" activeCell="AC6" sqref="AC6"/>
    </sheetView>
  </sheetViews>
  <sheetFormatPr baseColWidth="10" defaultColWidth="9.109375" defaultRowHeight="30" customHeight="1" x14ac:dyDescent="0.3"/>
  <cols>
    <col min="1" max="1" width="2.6640625" style="45" customWidth="1"/>
    <col min="2" max="2" width="70.5546875" customWidth="1"/>
    <col min="3" max="3" width="32.88671875" customWidth="1"/>
    <col min="4" max="4" width="12.6640625" customWidth="1"/>
    <col min="5" max="5" width="10.44140625" style="5" customWidth="1"/>
    <col min="6" max="6" width="10.44140625" customWidth="1"/>
    <col min="7" max="7" width="2.6640625" customWidth="1"/>
    <col min="8" max="8" width="9.5546875" hidden="1" customWidth="1"/>
    <col min="9" max="64" width="2.5546875" customWidth="1"/>
    <col min="69" max="70" width="10.33203125"/>
  </cols>
  <sheetData>
    <row r="1" spans="1:64" ht="30" customHeight="1" x14ac:dyDescent="0.55000000000000004">
      <c r="A1" s="46" t="s">
        <v>0</v>
      </c>
      <c r="B1" s="49" t="s">
        <v>38</v>
      </c>
      <c r="C1" s="1"/>
      <c r="D1" s="2"/>
      <c r="E1" s="4"/>
      <c r="F1" s="34"/>
      <c r="H1" s="2"/>
      <c r="I1" s="67" t="s">
        <v>23</v>
      </c>
    </row>
    <row r="2" spans="1:64" ht="30" customHeight="1" x14ac:dyDescent="0.35">
      <c r="A2" s="45" t="s">
        <v>1</v>
      </c>
      <c r="B2" s="50"/>
      <c r="I2" s="68" t="s">
        <v>24</v>
      </c>
    </row>
    <row r="3" spans="1:64" ht="30" customHeight="1" x14ac:dyDescent="0.3">
      <c r="A3" s="45" t="s">
        <v>2</v>
      </c>
      <c r="B3" s="51"/>
      <c r="C3" s="88" t="s">
        <v>16</v>
      </c>
      <c r="D3" s="89"/>
      <c r="E3" s="93">
        <f>DATE(2026, 2, 7)</f>
        <v>46060</v>
      </c>
      <c r="F3" s="93"/>
    </row>
    <row r="4" spans="1:64" ht="30" customHeight="1" x14ac:dyDescent="0.3">
      <c r="A4" s="46" t="s">
        <v>3</v>
      </c>
      <c r="C4" s="88" t="s">
        <v>17</v>
      </c>
      <c r="D4" s="89"/>
      <c r="E4" s="7">
        <v>1</v>
      </c>
      <c r="I4" s="90">
        <f>I5</f>
        <v>46055</v>
      </c>
      <c r="J4" s="91"/>
      <c r="K4" s="91"/>
      <c r="L4" s="91"/>
      <c r="M4" s="91"/>
      <c r="N4" s="91"/>
      <c r="O4" s="92"/>
      <c r="P4" s="90">
        <f>P5</f>
        <v>46062</v>
      </c>
      <c r="Q4" s="91"/>
      <c r="R4" s="91"/>
      <c r="S4" s="91"/>
      <c r="T4" s="91"/>
      <c r="U4" s="91"/>
      <c r="V4" s="92"/>
      <c r="W4" s="90">
        <f>W5</f>
        <v>46069</v>
      </c>
      <c r="X4" s="91"/>
      <c r="Y4" s="91"/>
      <c r="Z4" s="91"/>
      <c r="AA4" s="91"/>
      <c r="AB4" s="91"/>
      <c r="AC4" s="92"/>
      <c r="AD4" s="90">
        <f>AD5</f>
        <v>46076</v>
      </c>
      <c r="AE4" s="91"/>
      <c r="AF4" s="91"/>
      <c r="AG4" s="91"/>
      <c r="AH4" s="91"/>
      <c r="AI4" s="91"/>
      <c r="AJ4" s="92"/>
      <c r="AK4" s="90">
        <f>AK5</f>
        <v>46083</v>
      </c>
      <c r="AL4" s="91"/>
      <c r="AM4" s="91"/>
      <c r="AN4" s="91"/>
      <c r="AO4" s="91"/>
      <c r="AP4" s="91"/>
      <c r="AQ4" s="92"/>
      <c r="AR4" s="90">
        <f>AR5</f>
        <v>46090</v>
      </c>
      <c r="AS4" s="91"/>
      <c r="AT4" s="91"/>
      <c r="AU4" s="91"/>
      <c r="AV4" s="91"/>
      <c r="AW4" s="91"/>
      <c r="AX4" s="92"/>
      <c r="AY4" s="90">
        <f>AY5</f>
        <v>46097</v>
      </c>
      <c r="AZ4" s="91"/>
      <c r="BA4" s="91"/>
      <c r="BB4" s="91"/>
      <c r="BC4" s="91"/>
      <c r="BD4" s="91"/>
      <c r="BE4" s="92"/>
      <c r="BF4" s="90">
        <f>BF5</f>
        <v>46104</v>
      </c>
      <c r="BG4" s="91"/>
      <c r="BH4" s="91"/>
      <c r="BI4" s="91"/>
      <c r="BJ4" s="91"/>
      <c r="BK4" s="91"/>
      <c r="BL4" s="92"/>
    </row>
    <row r="5" spans="1:64" ht="15" customHeight="1" x14ac:dyDescent="0.3">
      <c r="A5" s="46" t="s">
        <v>4</v>
      </c>
      <c r="B5" s="66"/>
      <c r="C5" s="66"/>
      <c r="D5" s="66"/>
      <c r="E5" s="66"/>
      <c r="F5" s="66"/>
      <c r="G5" s="66"/>
      <c r="I5" s="85">
        <f>Début_Projet-WEEKDAY(Début_Projet,1)+2+7*(Semaine_Affichage-1)</f>
        <v>46055</v>
      </c>
      <c r="J5" s="86">
        <f>I5+1</f>
        <v>46056</v>
      </c>
      <c r="K5" s="86">
        <f t="shared" ref="K5:AX5" si="0">J5+1</f>
        <v>46057</v>
      </c>
      <c r="L5" s="86">
        <f t="shared" si="0"/>
        <v>46058</v>
      </c>
      <c r="M5" s="86">
        <f t="shared" si="0"/>
        <v>46059</v>
      </c>
      <c r="N5" s="86">
        <f t="shared" si="0"/>
        <v>46060</v>
      </c>
      <c r="O5" s="87">
        <f t="shared" si="0"/>
        <v>46061</v>
      </c>
      <c r="P5" s="85">
        <f>O5+1</f>
        <v>46062</v>
      </c>
      <c r="Q5" s="86">
        <f>P5+1</f>
        <v>46063</v>
      </c>
      <c r="R5" s="86">
        <f t="shared" si="0"/>
        <v>46064</v>
      </c>
      <c r="S5" s="86">
        <f t="shared" si="0"/>
        <v>46065</v>
      </c>
      <c r="T5" s="86">
        <f t="shared" si="0"/>
        <v>46066</v>
      </c>
      <c r="U5" s="86">
        <f t="shared" si="0"/>
        <v>46067</v>
      </c>
      <c r="V5" s="87">
        <f t="shared" si="0"/>
        <v>46068</v>
      </c>
      <c r="W5" s="85">
        <f>V5+1</f>
        <v>46069</v>
      </c>
      <c r="X5" s="86">
        <f>W5+1</f>
        <v>46070</v>
      </c>
      <c r="Y5" s="86">
        <f t="shared" si="0"/>
        <v>46071</v>
      </c>
      <c r="Z5" s="86">
        <f t="shared" si="0"/>
        <v>46072</v>
      </c>
      <c r="AA5" s="86">
        <f t="shared" si="0"/>
        <v>46073</v>
      </c>
      <c r="AB5" s="86">
        <f t="shared" si="0"/>
        <v>46074</v>
      </c>
      <c r="AC5" s="87">
        <f t="shared" si="0"/>
        <v>46075</v>
      </c>
      <c r="AD5" s="85">
        <f>AC5+1</f>
        <v>46076</v>
      </c>
      <c r="AE5" s="86">
        <f>AD5+1</f>
        <v>46077</v>
      </c>
      <c r="AF5" s="86">
        <f t="shared" si="0"/>
        <v>46078</v>
      </c>
      <c r="AG5" s="86">
        <f t="shared" si="0"/>
        <v>46079</v>
      </c>
      <c r="AH5" s="86">
        <f t="shared" si="0"/>
        <v>46080</v>
      </c>
      <c r="AI5" s="86">
        <f t="shared" si="0"/>
        <v>46081</v>
      </c>
      <c r="AJ5" s="87">
        <f t="shared" si="0"/>
        <v>46082</v>
      </c>
      <c r="AK5" s="85">
        <f>AJ5+1</f>
        <v>46083</v>
      </c>
      <c r="AL5" s="86">
        <f>AK5+1</f>
        <v>46084</v>
      </c>
      <c r="AM5" s="86">
        <f t="shared" si="0"/>
        <v>46085</v>
      </c>
      <c r="AN5" s="86">
        <f t="shared" si="0"/>
        <v>46086</v>
      </c>
      <c r="AO5" s="86">
        <f t="shared" si="0"/>
        <v>46087</v>
      </c>
      <c r="AP5" s="86">
        <f t="shared" si="0"/>
        <v>46088</v>
      </c>
      <c r="AQ5" s="87">
        <f t="shared" si="0"/>
        <v>46089</v>
      </c>
      <c r="AR5" s="85">
        <f>AQ5+1</f>
        <v>46090</v>
      </c>
      <c r="AS5" s="86">
        <f>AR5+1</f>
        <v>46091</v>
      </c>
      <c r="AT5" s="86">
        <f t="shared" si="0"/>
        <v>46092</v>
      </c>
      <c r="AU5" s="86">
        <f t="shared" si="0"/>
        <v>46093</v>
      </c>
      <c r="AV5" s="86">
        <f t="shared" si="0"/>
        <v>46094</v>
      </c>
      <c r="AW5" s="86">
        <f t="shared" si="0"/>
        <v>46095</v>
      </c>
      <c r="AX5" s="87">
        <f t="shared" si="0"/>
        <v>46096</v>
      </c>
      <c r="AY5" s="85">
        <f>AX5+1</f>
        <v>46097</v>
      </c>
      <c r="AZ5" s="86">
        <f>AY5+1</f>
        <v>46098</v>
      </c>
      <c r="BA5" s="86">
        <f t="shared" ref="BA5:BE5" si="1">AZ5+1</f>
        <v>46099</v>
      </c>
      <c r="BB5" s="86">
        <f t="shared" si="1"/>
        <v>46100</v>
      </c>
      <c r="BC5" s="86">
        <f t="shared" si="1"/>
        <v>46101</v>
      </c>
      <c r="BD5" s="86">
        <f t="shared" si="1"/>
        <v>46102</v>
      </c>
      <c r="BE5" s="87">
        <f t="shared" si="1"/>
        <v>46103</v>
      </c>
      <c r="BF5" s="85">
        <f>BE5+1</f>
        <v>46104</v>
      </c>
      <c r="BG5" s="86">
        <f>BF5+1</f>
        <v>46105</v>
      </c>
      <c r="BH5" s="86">
        <f t="shared" ref="BH5:BL5" si="2">BG5+1</f>
        <v>46106</v>
      </c>
      <c r="BI5" s="86">
        <f t="shared" si="2"/>
        <v>46107</v>
      </c>
      <c r="BJ5" s="86">
        <f t="shared" si="2"/>
        <v>46108</v>
      </c>
      <c r="BK5" s="86">
        <f t="shared" si="2"/>
        <v>46109</v>
      </c>
      <c r="BL5" s="87">
        <f t="shared" si="2"/>
        <v>46110</v>
      </c>
    </row>
    <row r="6" spans="1:64" ht="30" customHeight="1" thickBot="1" x14ac:dyDescent="0.35">
      <c r="A6" s="46" t="s">
        <v>5</v>
      </c>
      <c r="B6" s="8" t="s">
        <v>14</v>
      </c>
      <c r="C6" s="9" t="s">
        <v>18</v>
      </c>
      <c r="D6" s="9" t="s">
        <v>19</v>
      </c>
      <c r="E6" s="9" t="s">
        <v>20</v>
      </c>
      <c r="F6" s="9" t="s">
        <v>21</v>
      </c>
      <c r="G6" s="9"/>
      <c r="H6" s="9" t="s">
        <v>22</v>
      </c>
      <c r="I6" s="10" t="str">
        <f t="shared" ref="I6:AN6" si="3">LEFT(TEXT(I5,"jjj"),1)</f>
        <v>l</v>
      </c>
      <c r="J6" s="10" t="str">
        <f t="shared" si="3"/>
        <v>m</v>
      </c>
      <c r="K6" s="10" t="str">
        <f t="shared" si="3"/>
        <v>m</v>
      </c>
      <c r="L6" s="10" t="str">
        <f t="shared" si="3"/>
        <v>j</v>
      </c>
      <c r="M6" s="10" t="str">
        <f t="shared" si="3"/>
        <v>v</v>
      </c>
      <c r="N6" s="10" t="str">
        <f t="shared" si="3"/>
        <v>s</v>
      </c>
      <c r="O6" s="10" t="str">
        <f t="shared" si="3"/>
        <v>d</v>
      </c>
      <c r="P6" s="10" t="str">
        <f t="shared" si="3"/>
        <v>l</v>
      </c>
      <c r="Q6" s="10" t="str">
        <f t="shared" si="3"/>
        <v>m</v>
      </c>
      <c r="R6" s="10" t="str">
        <f t="shared" si="3"/>
        <v>m</v>
      </c>
      <c r="S6" s="10" t="str">
        <f t="shared" si="3"/>
        <v>j</v>
      </c>
      <c r="T6" s="10" t="str">
        <f t="shared" si="3"/>
        <v>v</v>
      </c>
      <c r="U6" s="10" t="str">
        <f t="shared" si="3"/>
        <v>s</v>
      </c>
      <c r="V6" s="10" t="str">
        <f t="shared" si="3"/>
        <v>d</v>
      </c>
      <c r="W6" s="10" t="str">
        <f t="shared" si="3"/>
        <v>l</v>
      </c>
      <c r="X6" s="10" t="str">
        <f t="shared" si="3"/>
        <v>m</v>
      </c>
      <c r="Y6" s="10" t="str">
        <f t="shared" si="3"/>
        <v>m</v>
      </c>
      <c r="Z6" s="10" t="str">
        <f t="shared" si="3"/>
        <v>j</v>
      </c>
      <c r="AA6" s="10" t="str">
        <f t="shared" si="3"/>
        <v>v</v>
      </c>
      <c r="AB6" s="10" t="str">
        <f t="shared" si="3"/>
        <v>s</v>
      </c>
      <c r="AC6" s="10" t="str">
        <f t="shared" si="3"/>
        <v>d</v>
      </c>
      <c r="AD6" s="10" t="str">
        <f t="shared" si="3"/>
        <v>l</v>
      </c>
      <c r="AE6" s="10" t="str">
        <f t="shared" si="3"/>
        <v>m</v>
      </c>
      <c r="AF6" s="10" t="str">
        <f t="shared" si="3"/>
        <v>m</v>
      </c>
      <c r="AG6" s="10" t="str">
        <f t="shared" si="3"/>
        <v>j</v>
      </c>
      <c r="AH6" s="10" t="str">
        <f t="shared" si="3"/>
        <v>v</v>
      </c>
      <c r="AI6" s="10" t="str">
        <f t="shared" si="3"/>
        <v>s</v>
      </c>
      <c r="AJ6" s="10" t="str">
        <f t="shared" si="3"/>
        <v>d</v>
      </c>
      <c r="AK6" s="10" t="str">
        <f t="shared" si="3"/>
        <v>l</v>
      </c>
      <c r="AL6" s="10" t="str">
        <f t="shared" si="3"/>
        <v>m</v>
      </c>
      <c r="AM6" s="10" t="str">
        <f t="shared" si="3"/>
        <v>m</v>
      </c>
      <c r="AN6" s="10" t="str">
        <f t="shared" si="3"/>
        <v>j</v>
      </c>
      <c r="AO6" s="10" t="str">
        <f t="shared" ref="AO6:BL6" si="4">LEFT(TEXT(AO5,"jjj"),1)</f>
        <v>v</v>
      </c>
      <c r="AP6" s="10" t="str">
        <f t="shared" si="4"/>
        <v>s</v>
      </c>
      <c r="AQ6" s="10" t="str">
        <f t="shared" si="4"/>
        <v>d</v>
      </c>
      <c r="AR6" s="10" t="str">
        <f t="shared" si="4"/>
        <v>l</v>
      </c>
      <c r="AS6" s="10" t="str">
        <f t="shared" si="4"/>
        <v>m</v>
      </c>
      <c r="AT6" s="10" t="str">
        <f t="shared" si="4"/>
        <v>m</v>
      </c>
      <c r="AU6" s="10" t="str">
        <f t="shared" si="4"/>
        <v>j</v>
      </c>
      <c r="AV6" s="10" t="str">
        <f t="shared" si="4"/>
        <v>v</v>
      </c>
      <c r="AW6" s="10" t="str">
        <f t="shared" si="4"/>
        <v>s</v>
      </c>
      <c r="AX6" s="10" t="str">
        <f t="shared" si="4"/>
        <v>d</v>
      </c>
      <c r="AY6" s="10" t="str">
        <f t="shared" si="4"/>
        <v>l</v>
      </c>
      <c r="AZ6" s="10" t="str">
        <f t="shared" si="4"/>
        <v>m</v>
      </c>
      <c r="BA6" s="10" t="str">
        <f t="shared" si="4"/>
        <v>m</v>
      </c>
      <c r="BB6" s="10" t="str">
        <f t="shared" si="4"/>
        <v>j</v>
      </c>
      <c r="BC6" s="10" t="str">
        <f t="shared" si="4"/>
        <v>v</v>
      </c>
      <c r="BD6" s="10" t="str">
        <f t="shared" si="4"/>
        <v>s</v>
      </c>
      <c r="BE6" s="10" t="str">
        <f t="shared" si="4"/>
        <v>d</v>
      </c>
      <c r="BF6" s="10" t="str">
        <f t="shared" si="4"/>
        <v>l</v>
      </c>
      <c r="BG6" s="10" t="str">
        <f t="shared" si="4"/>
        <v>m</v>
      </c>
      <c r="BH6" s="10" t="str">
        <f t="shared" si="4"/>
        <v>m</v>
      </c>
      <c r="BI6" s="10" t="str">
        <f t="shared" si="4"/>
        <v>j</v>
      </c>
      <c r="BJ6" s="10" t="str">
        <f t="shared" si="4"/>
        <v>v</v>
      </c>
      <c r="BK6" s="10" t="str">
        <f t="shared" si="4"/>
        <v>s</v>
      </c>
      <c r="BL6" s="10" t="str">
        <f t="shared" si="4"/>
        <v>d</v>
      </c>
    </row>
    <row r="7" spans="1:64" ht="15" hidden="1" thickBot="1" x14ac:dyDescent="0.35">
      <c r="A7" s="45" t="s">
        <v>6</v>
      </c>
      <c r="C7" s="48"/>
      <c r="E7"/>
      <c r="H7" t="str">
        <f>IF(OR(ISBLANK(début_tâche),ISBLANK(fin_tâche)),"",fin_tâche-début_tâche+1)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46" t="s">
        <v>7</v>
      </c>
      <c r="B8" s="15" t="s">
        <v>39</v>
      </c>
      <c r="C8" s="52"/>
      <c r="D8" s="16"/>
      <c r="E8" s="70"/>
      <c r="F8" s="71"/>
      <c r="G8" s="14"/>
      <c r="H8" s="14" t="str">
        <f t="shared" ref="H8:H34" si="5">IF(OR(ISBLANK(début_tâche),ISBLANK(fin_tâche)),"",fin_tâche-début_tâche+1)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5">
      <c r="A9" s="46" t="s">
        <v>8</v>
      </c>
      <c r="B9" s="61" t="s">
        <v>40</v>
      </c>
      <c r="C9" s="53" t="s">
        <v>43</v>
      </c>
      <c r="D9" s="17">
        <v>0</v>
      </c>
      <c r="E9" s="72">
        <f>Début_Projet</f>
        <v>46060</v>
      </c>
      <c r="F9" s="72">
        <f>E9</f>
        <v>46060</v>
      </c>
      <c r="G9" s="14"/>
      <c r="H9" s="14">
        <f t="shared" si="5"/>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5">
      <c r="A10" s="46" t="s">
        <v>9</v>
      </c>
      <c r="B10" s="61" t="s">
        <v>41</v>
      </c>
      <c r="C10" s="53" t="s">
        <v>43</v>
      </c>
      <c r="D10" s="17">
        <v>0</v>
      </c>
      <c r="E10" s="72">
        <f>F9</f>
        <v>46060</v>
      </c>
      <c r="F10" s="72">
        <f>E10+2</f>
        <v>46062</v>
      </c>
      <c r="G10" s="14"/>
      <c r="H10" s="14">
        <f t="shared" si="5"/>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45"/>
      <c r="B11" s="61" t="s">
        <v>42</v>
      </c>
      <c r="C11" s="53" t="s">
        <v>46</v>
      </c>
      <c r="D11" s="17">
        <v>0</v>
      </c>
      <c r="E11" s="72">
        <f>Début_Projet</f>
        <v>46060</v>
      </c>
      <c r="F11" s="72">
        <f>E11+1</f>
        <v>46061</v>
      </c>
      <c r="G11" s="14"/>
      <c r="H11" s="14">
        <f t="shared" si="5"/>
        <v>2</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45"/>
      <c r="B12" s="61" t="s">
        <v>44</v>
      </c>
      <c r="C12" s="53" t="s">
        <v>46</v>
      </c>
      <c r="D12" s="17">
        <v>0</v>
      </c>
      <c r="E12" s="72">
        <f>F11</f>
        <v>46061</v>
      </c>
      <c r="F12" s="72">
        <f>E12+1</f>
        <v>46062</v>
      </c>
      <c r="G12" s="14"/>
      <c r="H12" s="14">
        <f t="shared" si="5"/>
        <v>2</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5">
      <c r="A13" s="45"/>
      <c r="B13" s="61" t="s">
        <v>45</v>
      </c>
      <c r="C13" s="53" t="s">
        <v>47</v>
      </c>
      <c r="D13" s="17">
        <v>0</v>
      </c>
      <c r="E13" s="72">
        <f>Début_Projet</f>
        <v>46060</v>
      </c>
      <c r="F13" s="72">
        <f>E13</f>
        <v>46060</v>
      </c>
      <c r="G13" s="14"/>
      <c r="H13" s="14">
        <f t="shared" si="5"/>
        <v>1</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5">
      <c r="A14" s="45"/>
      <c r="B14" s="61" t="s">
        <v>48</v>
      </c>
      <c r="C14" s="53" t="s">
        <v>51</v>
      </c>
      <c r="D14" s="17">
        <v>0</v>
      </c>
      <c r="E14" s="72">
        <f>Début_Projet</f>
        <v>46060</v>
      </c>
      <c r="F14" s="72">
        <f>E14</f>
        <v>46060</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45"/>
      <c r="B15" s="61" t="s">
        <v>49</v>
      </c>
      <c r="C15" s="53" t="s">
        <v>51</v>
      </c>
      <c r="D15" s="17">
        <v>0</v>
      </c>
      <c r="E15" s="72">
        <f>Début_Projet</f>
        <v>46060</v>
      </c>
      <c r="F15" s="72">
        <f>E15</f>
        <v>46060</v>
      </c>
      <c r="G15" s="14"/>
      <c r="H15" s="14"/>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45"/>
      <c r="B16" s="61" t="s">
        <v>50</v>
      </c>
      <c r="C16" s="53" t="s">
        <v>51</v>
      </c>
      <c r="D16" s="17">
        <v>0</v>
      </c>
      <c r="E16" s="72">
        <f>Début_Projet</f>
        <v>46060</v>
      </c>
      <c r="F16" s="72">
        <f>E16</f>
        <v>46060</v>
      </c>
      <c r="G16" s="14"/>
      <c r="H16" s="14"/>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46" t="s">
        <v>10</v>
      </c>
      <c r="B17" s="18" t="s">
        <v>52</v>
      </c>
      <c r="C17" s="54"/>
      <c r="D17" s="19"/>
      <c r="E17" s="73"/>
      <c r="F17" s="74"/>
      <c r="G17" s="14"/>
      <c r="H17" s="14" t="str">
        <f t="shared" si="5"/>
        <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46"/>
      <c r="B18" s="62" t="s">
        <v>54</v>
      </c>
      <c r="C18" s="55" t="s">
        <v>46</v>
      </c>
      <c r="D18" s="20">
        <v>0</v>
      </c>
      <c r="E18" s="75">
        <f>Début_Projet+3</f>
        <v>46063</v>
      </c>
      <c r="F18" s="75">
        <f>E18+6</f>
        <v>46069</v>
      </c>
      <c r="G18" s="14"/>
      <c r="H18" s="14">
        <f t="shared" si="5"/>
        <v>7</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45"/>
      <c r="B19" s="62" t="s">
        <v>55</v>
      </c>
      <c r="C19" s="55" t="s">
        <v>43</v>
      </c>
      <c r="D19" s="20">
        <v>0</v>
      </c>
      <c r="E19" s="75">
        <f>Début_Projet+3</f>
        <v>46063</v>
      </c>
      <c r="F19" s="75">
        <f>E19+6</f>
        <v>46069</v>
      </c>
      <c r="G19" s="14"/>
      <c r="H19" s="14">
        <f t="shared" si="5"/>
        <v>7</v>
      </c>
      <c r="I19" s="31"/>
      <c r="J19" s="31"/>
      <c r="K19" s="31"/>
      <c r="L19" s="31"/>
      <c r="M19" s="31"/>
      <c r="N19" s="31"/>
      <c r="O19" s="31"/>
      <c r="P19" s="31"/>
      <c r="Q19" s="31"/>
      <c r="R19" s="31"/>
      <c r="S19" s="31"/>
      <c r="T19" s="31"/>
      <c r="U19" s="32"/>
      <c r="V19" s="32"/>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45"/>
      <c r="B20" s="62" t="s">
        <v>56</v>
      </c>
      <c r="C20" s="55" t="s">
        <v>43</v>
      </c>
      <c r="D20" s="20">
        <v>0</v>
      </c>
      <c r="E20" s="75">
        <f>F19</f>
        <v>46069</v>
      </c>
      <c r="F20" s="75">
        <f>E20</f>
        <v>46069</v>
      </c>
      <c r="G20" s="14"/>
      <c r="H20" s="14">
        <f t="shared" si="5"/>
        <v>1</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45"/>
      <c r="B21" s="62" t="s">
        <v>57</v>
      </c>
      <c r="C21" s="55" t="s">
        <v>47</v>
      </c>
      <c r="D21" s="20">
        <v>0</v>
      </c>
      <c r="E21" s="75">
        <f>Début_Projet+3</f>
        <v>46063</v>
      </c>
      <c r="F21" s="75">
        <f>E21+6</f>
        <v>46069</v>
      </c>
      <c r="G21" s="14"/>
      <c r="H21" s="14">
        <f t="shared" si="5"/>
        <v>7</v>
      </c>
      <c r="I21" s="31"/>
      <c r="J21" s="31"/>
      <c r="K21" s="31"/>
      <c r="L21" s="31"/>
      <c r="M21" s="31"/>
      <c r="N21" s="31"/>
      <c r="O21" s="31"/>
      <c r="P21" s="31"/>
      <c r="Q21" s="31"/>
      <c r="R21" s="31"/>
      <c r="S21" s="31"/>
      <c r="T21" s="31"/>
      <c r="U21" s="31"/>
      <c r="V21" s="31"/>
      <c r="W21" s="31"/>
      <c r="X21" s="31"/>
      <c r="Y21" s="32"/>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45"/>
      <c r="B22" s="62" t="s">
        <v>58</v>
      </c>
      <c r="C22" s="55" t="s">
        <v>59</v>
      </c>
      <c r="D22" s="20">
        <v>0</v>
      </c>
      <c r="E22" s="75">
        <f>Début_Projet+3</f>
        <v>46063</v>
      </c>
      <c r="F22" s="75">
        <f>E22+6</f>
        <v>46069</v>
      </c>
      <c r="G22" s="14"/>
      <c r="H22" s="14"/>
      <c r="I22" s="31"/>
      <c r="J22" s="31"/>
      <c r="K22" s="31"/>
      <c r="L22" s="31"/>
      <c r="M22" s="31"/>
      <c r="N22" s="31"/>
      <c r="O22" s="31"/>
      <c r="P22" s="31"/>
      <c r="Q22" s="31"/>
      <c r="R22" s="31"/>
      <c r="S22" s="31"/>
      <c r="T22" s="31"/>
      <c r="U22" s="31"/>
      <c r="V22" s="31"/>
      <c r="W22" s="31"/>
      <c r="X22" s="31"/>
      <c r="Y22" s="32"/>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45" t="s">
        <v>11</v>
      </c>
      <c r="B23" s="21" t="s">
        <v>53</v>
      </c>
      <c r="C23" s="56"/>
      <c r="D23" s="22"/>
      <c r="E23" s="76"/>
      <c r="F23" s="77"/>
      <c r="G23" s="14"/>
      <c r="H23" s="14" t="str">
        <f t="shared" si="5"/>
        <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45"/>
      <c r="B24" s="63" t="s">
        <v>61</v>
      </c>
      <c r="C24" s="57" t="s">
        <v>47</v>
      </c>
      <c r="D24" s="23">
        <v>0</v>
      </c>
      <c r="E24" s="78">
        <f>Début_Projet+10</f>
        <v>46070</v>
      </c>
      <c r="F24" s="78">
        <f>E24</f>
        <v>46070</v>
      </c>
      <c r="G24" s="14"/>
      <c r="H24" s="14">
        <f t="shared" si="5"/>
        <v>1</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45"/>
      <c r="B25" s="63" t="s">
        <v>60</v>
      </c>
      <c r="C25" s="57" t="s">
        <v>46</v>
      </c>
      <c r="D25" s="23">
        <v>0</v>
      </c>
      <c r="E25" s="78">
        <f>Début_Projet+10</f>
        <v>46070</v>
      </c>
      <c r="F25" s="78">
        <f>E25+2</f>
        <v>46072</v>
      </c>
      <c r="G25" s="14"/>
      <c r="H25" s="14">
        <f t="shared" si="5"/>
        <v>3</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45"/>
      <c r="B26" s="63" t="s">
        <v>62</v>
      </c>
      <c r="C26" s="57" t="s">
        <v>43</v>
      </c>
      <c r="D26" s="23">
        <v>0</v>
      </c>
      <c r="E26" s="78">
        <f>Début_Projet+10</f>
        <v>46070</v>
      </c>
      <c r="F26" s="78">
        <f>E26+2</f>
        <v>46072</v>
      </c>
      <c r="G26" s="14"/>
      <c r="H26" s="14">
        <f t="shared" si="5"/>
        <v>3</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5">
      <c r="A27" s="45"/>
      <c r="B27" s="63" t="s">
        <v>64</v>
      </c>
      <c r="C27" s="57" t="s">
        <v>51</v>
      </c>
      <c r="D27" s="23">
        <v>0</v>
      </c>
      <c r="E27" s="78">
        <f>Début_Projet+10</f>
        <v>46070</v>
      </c>
      <c r="F27" s="78">
        <f>E27+2</f>
        <v>46072</v>
      </c>
      <c r="G27" s="14"/>
      <c r="H27" s="14"/>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45" t="s">
        <v>11</v>
      </c>
      <c r="B28" s="24" t="s">
        <v>63</v>
      </c>
      <c r="C28" s="58"/>
      <c r="D28" s="25"/>
      <c r="E28" s="79"/>
      <c r="F28" s="80"/>
      <c r="G28" s="14"/>
      <c r="H28" s="14" t="str">
        <f t="shared" si="5"/>
        <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45"/>
      <c r="B29" s="64" t="s">
        <v>65</v>
      </c>
      <c r="C29" s="59" t="s">
        <v>68</v>
      </c>
      <c r="D29" s="26">
        <v>0</v>
      </c>
      <c r="E29" s="81">
        <f>Début_Projet+13</f>
        <v>46073</v>
      </c>
      <c r="F29" s="81">
        <f>E29</f>
        <v>46073</v>
      </c>
      <c r="G29" s="14"/>
      <c r="H29" s="14">
        <f t="shared" si="5"/>
        <v>1</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45"/>
      <c r="B30" s="64" t="s">
        <v>67</v>
      </c>
      <c r="C30" s="59" t="s">
        <v>68</v>
      </c>
      <c r="D30" s="26">
        <v>0</v>
      </c>
      <c r="E30" s="81">
        <f>F29</f>
        <v>46073</v>
      </c>
      <c r="F30" s="81">
        <f>E30</f>
        <v>46073</v>
      </c>
      <c r="G30" s="14"/>
      <c r="H30" s="14">
        <f t="shared" si="5"/>
        <v>1</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45"/>
      <c r="B31" s="64" t="s">
        <v>66</v>
      </c>
      <c r="C31" s="59" t="s">
        <v>68</v>
      </c>
      <c r="D31" s="26">
        <v>0</v>
      </c>
      <c r="E31" s="81">
        <f>F30+1</f>
        <v>46074</v>
      </c>
      <c r="F31" s="81">
        <f>E31</f>
        <v>46074</v>
      </c>
      <c r="G31" s="14"/>
      <c r="H31" s="14">
        <f t="shared" si="5"/>
        <v>1</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5">
      <c r="A32" s="45"/>
      <c r="B32" s="64" t="s">
        <v>69</v>
      </c>
      <c r="C32" s="59" t="s">
        <v>68</v>
      </c>
      <c r="D32" s="26">
        <v>0</v>
      </c>
      <c r="E32" s="81">
        <f>F31+1</f>
        <v>46075</v>
      </c>
      <c r="F32" s="81">
        <f>E32</f>
        <v>46075</v>
      </c>
      <c r="G32" s="14"/>
      <c r="H32" s="14">
        <f t="shared" si="5"/>
        <v>1</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5">
      <c r="A33" s="45" t="s">
        <v>12</v>
      </c>
      <c r="B33" s="65"/>
      <c r="C33" s="60"/>
      <c r="D33" s="13"/>
      <c r="E33" s="82"/>
      <c r="F33" s="82"/>
      <c r="G33" s="14"/>
      <c r="H33" s="14" t="str">
        <f t="shared" si="5"/>
        <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s="3" customFormat="1" ht="30" customHeight="1" thickBot="1" x14ac:dyDescent="0.35">
      <c r="A34" s="46" t="s">
        <v>13</v>
      </c>
      <c r="B34" s="27" t="s">
        <v>15</v>
      </c>
      <c r="C34" s="28"/>
      <c r="D34" s="29"/>
      <c r="E34" s="83"/>
      <c r="F34" s="84"/>
      <c r="G34" s="30"/>
      <c r="H34" s="30" t="str">
        <f t="shared" si="5"/>
        <v/>
      </c>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row>
    <row r="35" spans="1:64" ht="30" customHeight="1" x14ac:dyDescent="0.3">
      <c r="G35" s="6"/>
    </row>
    <row r="36" spans="1:64" ht="30" customHeight="1" x14ac:dyDescent="0.3">
      <c r="C36" s="11"/>
      <c r="F36" s="47"/>
    </row>
    <row r="37" spans="1:64" ht="30" customHeight="1" x14ac:dyDescent="0.3">
      <c r="C37"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4">
    <cfRule type="expression" dxfId="2" priority="33">
      <formula>AND(TODAY()&gt;=I$5,TODAY()&lt;J$5)</formula>
    </cfRule>
  </conditionalFormatting>
  <conditionalFormatting sqref="I7:BL34">
    <cfRule type="expression" dxfId="1" priority="27">
      <formula>AND(début_tâche&lt;=I$5,ROUNDDOWN((fin_tâche-début_tâche+1)*avancement_tâche,0)+début_tâche-1&gt;=I$5)</formula>
    </cfRule>
    <cfRule type="expression" dxfId="0" priority="28" stopIfTrue="1">
      <formula>AND(fin_tâche&gt;=I$5,début_tâche&lt;J$5)</formula>
    </cfRule>
  </conditionalFormatting>
  <dataValidations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9" fitToHeight="0" orientation="landscape" r:id="rId3"/>
  <headerFooter differentFirst="1" scaleWithDoc="0">
    <oddFooter>Page &amp;P of &amp;N</oddFooter>
  </headerFooter>
  <rowBreaks count="1" manualBreakCount="1">
    <brk id="33" max="16383" man="1"/>
  </rowBreaks>
  <colBreaks count="1" manualBreakCount="1">
    <brk id="2"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90.6640625" style="35" customWidth="1"/>
    <col min="2" max="16384" width="9.109375" style="2"/>
  </cols>
  <sheetData>
    <row r="1" spans="1:2" ht="46.5" customHeight="1" x14ac:dyDescent="0.3"/>
    <row r="2" spans="1:2" s="37" customFormat="1" ht="15.6" x14ac:dyDescent="0.3">
      <c r="A2" s="36" t="s">
        <v>23</v>
      </c>
      <c r="B2" s="36"/>
    </row>
    <row r="3" spans="1:2" s="41" customFormat="1" ht="27" customHeight="1" x14ac:dyDescent="0.3">
      <c r="A3" s="69" t="s">
        <v>24</v>
      </c>
      <c r="B3" s="42"/>
    </row>
    <row r="4" spans="1:2" s="38" customFormat="1" ht="25.8" x14ac:dyDescent="0.5">
      <c r="A4" s="39" t="s">
        <v>25</v>
      </c>
    </row>
    <row r="5" spans="1:2" ht="74.099999999999994" customHeight="1" x14ac:dyDescent="0.3">
      <c r="A5" s="40" t="s">
        <v>26</v>
      </c>
    </row>
    <row r="6" spans="1:2" ht="26.25" customHeight="1" x14ac:dyDescent="0.3">
      <c r="A6" s="39" t="s">
        <v>27</v>
      </c>
    </row>
    <row r="7" spans="1:2" s="35" customFormat="1" ht="204.9" customHeight="1" x14ac:dyDescent="0.3">
      <c r="A7" s="44" t="s">
        <v>28</v>
      </c>
    </row>
    <row r="8" spans="1:2" s="38" customFormat="1" ht="25.8" x14ac:dyDescent="0.5">
      <c r="A8" s="39" t="s">
        <v>29</v>
      </c>
    </row>
    <row r="9" spans="1:2" ht="57.6" x14ac:dyDescent="0.3">
      <c r="A9" s="40" t="s">
        <v>30</v>
      </c>
    </row>
    <row r="10" spans="1:2" s="35" customFormat="1" ht="27.9" customHeight="1" x14ac:dyDescent="0.3">
      <c r="A10" s="43" t="s">
        <v>31</v>
      </c>
    </row>
    <row r="11" spans="1:2" s="38" customFormat="1" ht="25.8" x14ac:dyDescent="0.5">
      <c r="A11" s="39" t="s">
        <v>32</v>
      </c>
    </row>
    <row r="12" spans="1:2" ht="28.8" x14ac:dyDescent="0.3">
      <c r="A12" s="40" t="s">
        <v>33</v>
      </c>
    </row>
    <row r="13" spans="1:2" s="35" customFormat="1" ht="27.9" customHeight="1" x14ac:dyDescent="0.3">
      <c r="A13" s="43" t="s">
        <v>34</v>
      </c>
    </row>
    <row r="14" spans="1:2" s="38" customFormat="1" ht="25.8" x14ac:dyDescent="0.5">
      <c r="A14" s="39" t="s">
        <v>35</v>
      </c>
    </row>
    <row r="15" spans="1:2" ht="88.5" customHeight="1" x14ac:dyDescent="0.3">
      <c r="A15" s="40" t="s">
        <v>36</v>
      </c>
    </row>
    <row r="16" spans="1:2" ht="96.75" customHeight="1" x14ac:dyDescent="0.3">
      <c r="A16" s="40"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6</vt:i4>
      </vt:variant>
    </vt:vector>
  </HeadingPairs>
  <TitlesOfParts>
    <vt:vector size="8" baseType="lpstr">
      <vt:lpstr>PlanningProjet</vt:lpstr>
      <vt:lpstr>À propos de</vt:lpstr>
      <vt:lpstr>PlanningProjet!avancement_tâche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2026-02-16T23:46:16Z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